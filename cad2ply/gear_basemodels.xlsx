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2C59EB9D-5F74-4A52-B2B2-73032605F855}" xr6:coauthVersionLast="47" xr6:coauthVersionMax="47" xr10:uidLastSave="{00000000-0000-0000-0000-000000000000}"/>
  <bookViews>
    <workbookView xWindow="6525" yWindow="390" windowWidth="21600" windowHeight="11385" xr2:uid="{1EE3144B-3457-4DBD-827D-B373D9CD9130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2" i="1"/>
  <c r="D13" i="1"/>
  <c r="C13" i="1" s="1"/>
  <c r="D14" i="1"/>
  <c r="C14" i="1" s="1"/>
  <c r="D15" i="1"/>
  <c r="C15" i="1" s="1"/>
  <c r="D12" i="1"/>
  <c r="C12" i="1" s="1"/>
</calcChain>
</file>

<file path=xl/sharedStrings.xml><?xml version="1.0" encoding="utf-8"?>
<sst xmlns="http://schemas.openxmlformats.org/spreadsheetml/2006/main" count="22" uniqueCount="22">
  <si>
    <t>Design Table for: gear_good</t>
  </si>
  <si>
    <t>GearOverall@Sketch1</t>
  </si>
  <si>
    <t>BaseCircle@Sketch2</t>
  </si>
  <si>
    <t>PCD@Sketch2</t>
  </si>
  <si>
    <t>MirrorDist@Sketch2</t>
  </si>
  <si>
    <t>ID@Sketch5</t>
  </si>
  <si>
    <t>T20ID15</t>
  </si>
  <si>
    <t>T20ID20</t>
  </si>
  <si>
    <t>T20ID25</t>
  </si>
  <si>
    <t>T30ID20</t>
  </si>
  <si>
    <t>T30ID30</t>
  </si>
  <si>
    <t>T30ID40</t>
  </si>
  <si>
    <t>T40ID40</t>
  </si>
  <si>
    <t>T40ID60</t>
  </si>
  <si>
    <t>T20ID10</t>
  </si>
  <si>
    <t>T30ID50</t>
  </si>
  <si>
    <t>T40ID30</t>
  </si>
  <si>
    <t>T40ID50</t>
  </si>
  <si>
    <t>Zfinal</t>
  </si>
  <si>
    <t>InvoluteGAP@Sketch2</t>
  </si>
  <si>
    <t>Dedendum@Sketch4</t>
  </si>
  <si>
    <t>NumTeeth@CirPattern1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</si>
</sst>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2" fontId="0" fillId="0" borderId="0" xfId="0" applyNumberFormat="1"/>
    <xf numFmtId="0" fontId="1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15"/>
  <sheetViews>
    <sheetView tabSelected="1" zoomScale="121" workbookViewId="0">
      <selection activeCell="D2" sqref="D2"/>
    </sheetView>
  </sheetViews>
  <sheetFormatPr defaultColWidth="8.85546875" defaultRowHeight="15" x14ac:dyDescent="0.25"/>
  <cols>
    <col min="1" max="1" width="26.140625" style="1" bestFit="1" customWidth="1"/>
    <col min="2" max="2" width="4.28515625" bestFit="1" customWidth="1"/>
    <col min="3" max="3" width="6.42578125" bestFit="1" customWidth="1"/>
    <col min="4" max="4" width="4.28515625" bestFit="1" customWidth="1"/>
    <col min="5" max="6" width="5.28515625" bestFit="1" customWidth="1"/>
    <col min="7" max="7" width="6.42578125" customWidth="1"/>
    <col min="8" max="9" width="3.7109375" bestFit="1" customWidth="1"/>
  </cols>
  <sheetData>
    <row r="1" spans="1:9" x14ac:dyDescent="0.25">
      <c r="A1" s="1" t="s">
        <v>0</v>
      </c>
    </row>
    <row r="2" spans="1:9" s="3" customFormat="1" ht="117.75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19</v>
      </c>
      <c r="G2" s="5" t="s">
        <v>20</v>
      </c>
      <c r="H2" s="3" t="s">
        <v>21</v>
      </c>
      <c r="I2" s="3" t="s">
        <v>5</v>
      </c>
    </row>
    <row r="3" spans="1:9" hidden="1" x14ac:dyDescent="0.25">
      <c r="A3" s="1" t="s">
        <v>18</v>
      </c>
      <c r="B3">
        <v>55</v>
      </c>
      <c r="C3">
        <v>46.98</v>
      </c>
      <c r="D3">
        <v>50</v>
      </c>
      <c r="E3">
        <v>1.96</v>
      </c>
      <c r="F3">
        <v>2.46</v>
      </c>
      <c r="G3">
        <v>43.75</v>
      </c>
      <c r="H3">
        <v>20</v>
      </c>
      <c r="I3">
        <v>20</v>
      </c>
    </row>
    <row r="4" spans="1:9" x14ac:dyDescent="0.25">
      <c r="A4" s="1" t="s">
        <v>14</v>
      </c>
      <c r="B4">
        <v>55</v>
      </c>
      <c r="C4">
        <v>46.98</v>
      </c>
      <c r="D4">
        <v>50</v>
      </c>
      <c r="E4">
        <v>1.96</v>
      </c>
      <c r="F4">
        <v>2.46</v>
      </c>
      <c r="G4">
        <v>43.75</v>
      </c>
      <c r="H4">
        <v>20</v>
      </c>
      <c r="I4">
        <v>10</v>
      </c>
    </row>
    <row r="5" spans="1:9" x14ac:dyDescent="0.25">
      <c r="A5" s="1" t="s">
        <v>6</v>
      </c>
      <c r="B5">
        <v>55</v>
      </c>
      <c r="C5">
        <v>46.98</v>
      </c>
      <c r="D5">
        <v>50</v>
      </c>
      <c r="E5">
        <v>1.96</v>
      </c>
      <c r="F5">
        <v>2.46</v>
      </c>
      <c r="G5">
        <v>43.75</v>
      </c>
      <c r="H5">
        <v>20</v>
      </c>
      <c r="I5">
        <v>15</v>
      </c>
    </row>
    <row r="6" spans="1:9" x14ac:dyDescent="0.25">
      <c r="A6" s="1" t="s">
        <v>7</v>
      </c>
      <c r="B6">
        <v>55</v>
      </c>
      <c r="C6">
        <v>46.98</v>
      </c>
      <c r="D6">
        <v>50</v>
      </c>
      <c r="E6">
        <v>1.96</v>
      </c>
      <c r="F6">
        <v>2.46</v>
      </c>
      <c r="G6">
        <v>43.75</v>
      </c>
      <c r="H6">
        <v>20</v>
      </c>
      <c r="I6">
        <v>20</v>
      </c>
    </row>
    <row r="7" spans="1:9" x14ac:dyDescent="0.25">
      <c r="A7" s="1" t="s">
        <v>8</v>
      </c>
      <c r="B7">
        <v>55</v>
      </c>
      <c r="C7">
        <v>46.98</v>
      </c>
      <c r="D7">
        <v>50</v>
      </c>
      <c r="E7">
        <v>1.96</v>
      </c>
      <c r="F7">
        <v>2.46</v>
      </c>
      <c r="G7">
        <v>43.75</v>
      </c>
      <c r="H7">
        <v>20</v>
      </c>
      <c r="I7">
        <v>25</v>
      </c>
    </row>
    <row r="8" spans="1:9" x14ac:dyDescent="0.25">
      <c r="A8" s="1" t="s">
        <v>9</v>
      </c>
      <c r="B8">
        <v>80</v>
      </c>
      <c r="C8">
        <v>70.48</v>
      </c>
      <c r="D8">
        <v>75</v>
      </c>
      <c r="E8">
        <v>1.96</v>
      </c>
      <c r="F8">
        <v>3.69</v>
      </c>
      <c r="G8">
        <v>68.75</v>
      </c>
      <c r="H8">
        <v>30</v>
      </c>
      <c r="I8">
        <v>20</v>
      </c>
    </row>
    <row r="9" spans="1:9" x14ac:dyDescent="0.25">
      <c r="A9" s="1" t="s">
        <v>10</v>
      </c>
      <c r="B9">
        <v>80</v>
      </c>
      <c r="C9">
        <v>70.48</v>
      </c>
      <c r="D9">
        <v>75</v>
      </c>
      <c r="E9">
        <v>1.96</v>
      </c>
      <c r="F9">
        <v>3.69</v>
      </c>
      <c r="G9">
        <v>68.75</v>
      </c>
      <c r="H9">
        <v>30</v>
      </c>
      <c r="I9">
        <v>30</v>
      </c>
    </row>
    <row r="10" spans="1:9" x14ac:dyDescent="0.25">
      <c r="A10" s="1" t="s">
        <v>11</v>
      </c>
      <c r="B10">
        <v>80</v>
      </c>
      <c r="C10">
        <v>70.48</v>
      </c>
      <c r="D10">
        <v>75</v>
      </c>
      <c r="E10">
        <v>1.96</v>
      </c>
      <c r="F10">
        <v>3.69</v>
      </c>
      <c r="G10">
        <v>68.75</v>
      </c>
      <c r="H10">
        <v>30</v>
      </c>
      <c r="I10">
        <v>40</v>
      </c>
    </row>
    <row r="11" spans="1:9" x14ac:dyDescent="0.25">
      <c r="A11" s="1" t="s">
        <v>15</v>
      </c>
      <c r="B11">
        <v>80</v>
      </c>
      <c r="C11">
        <v>70.48</v>
      </c>
      <c r="D11">
        <v>75</v>
      </c>
      <c r="E11">
        <v>1.96</v>
      </c>
      <c r="F11">
        <v>3.69</v>
      </c>
      <c r="G11">
        <v>68.75</v>
      </c>
      <c r="H11">
        <v>30</v>
      </c>
      <c r="I11">
        <v>50</v>
      </c>
    </row>
    <row r="12" spans="1:9" x14ac:dyDescent="0.25">
      <c r="A12" s="1" t="s">
        <v>16</v>
      </c>
      <c r="B12">
        <v>105</v>
      </c>
      <c r="C12" s="4">
        <f>D12-5.52</f>
        <v>94.48</v>
      </c>
      <c r="D12">
        <f>B12-5</f>
        <v>100</v>
      </c>
      <c r="E12">
        <v>1.96</v>
      </c>
      <c r="F12">
        <v>5.0599999999999996</v>
      </c>
      <c r="G12">
        <f>B12-11.25</f>
        <v>93.75</v>
      </c>
      <c r="H12">
        <v>40</v>
      </c>
      <c r="I12">
        <v>30</v>
      </c>
    </row>
    <row r="13" spans="1:9" x14ac:dyDescent="0.25">
      <c r="A13" s="1" t="s">
        <v>12</v>
      </c>
      <c r="B13">
        <v>105</v>
      </c>
      <c r="C13" s="4">
        <f t="shared" ref="C13:C15" si="0">D13-5.52</f>
        <v>94.48</v>
      </c>
      <c r="D13">
        <f t="shared" ref="D13:D15" si="1">B13-5</f>
        <v>100</v>
      </c>
      <c r="E13">
        <v>1.96</v>
      </c>
      <c r="F13">
        <v>5.0599999999999996</v>
      </c>
      <c r="G13">
        <f t="shared" ref="G13:G15" si="2">B13-11.25</f>
        <v>93.75</v>
      </c>
      <c r="H13">
        <v>40</v>
      </c>
      <c r="I13">
        <v>40</v>
      </c>
    </row>
    <row r="14" spans="1:9" x14ac:dyDescent="0.25">
      <c r="A14" s="1" t="s">
        <v>17</v>
      </c>
      <c r="B14">
        <v>105</v>
      </c>
      <c r="C14" s="4">
        <f t="shared" si="0"/>
        <v>94.48</v>
      </c>
      <c r="D14">
        <f t="shared" si="1"/>
        <v>100</v>
      </c>
      <c r="E14">
        <v>1.96</v>
      </c>
      <c r="F14">
        <v>5.0599999999999996</v>
      </c>
      <c r="G14">
        <f t="shared" si="2"/>
        <v>93.75</v>
      </c>
      <c r="H14">
        <v>40</v>
      </c>
      <c r="I14">
        <v>50</v>
      </c>
    </row>
    <row r="15" spans="1:9" x14ac:dyDescent="0.25">
      <c r="A15" s="1" t="s">
        <v>13</v>
      </c>
      <c r="B15">
        <v>105</v>
      </c>
      <c r="C15" s="4">
        <f t="shared" si="0"/>
        <v>94.48</v>
      </c>
      <c r="D15">
        <f t="shared" si="1"/>
        <v>100</v>
      </c>
      <c r="E15">
        <v>1.96</v>
      </c>
      <c r="F15">
        <v>5.0599999999999996</v>
      </c>
      <c r="G15">
        <f t="shared" si="2"/>
        <v>93.75</v>
      </c>
      <c r="H15">
        <v>40</v>
      </c>
      <c r="I15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2022-12-06T02:36:59Z</dcterms:modified>
</cp:coreProperties>
</file>